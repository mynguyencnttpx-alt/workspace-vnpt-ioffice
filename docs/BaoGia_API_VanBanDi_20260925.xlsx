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FF000000"/>
      <sz val="13"/>
    </font>
    <font>
      <name val="Times New Roman"/>
      <color rgb="FF000000"/>
      <sz val="13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2" borderId="1" pivotButton="0" quotePrefix="0" xfId="0"/>
    <xf numFmtId="2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2" fontId="2" fillId="3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.43" customWidth="1" min="1" max="1"/>
    <col width="71.43000000000001" customWidth="1" min="2" max="2"/>
    <col width="29.29" customWidth="1" min="3" max="3"/>
    <col width="15.43" customWidth="1" min="4" max="4"/>
    <col width="13.43" customWidth="1" min="5" max="5"/>
    <col width="20" customWidth="1" min="6" max="6"/>
    <col width="29.86" customWidth="1" min="7" max="7"/>
  </cols>
  <sheetData>
    <row r="1" ht="33" customHeight="1">
      <c r="A1" s="1" t="inlineStr">
        <is>
          <t>TT</t>
        </is>
      </c>
      <c r="B1" s="1" t="inlineStr">
        <is>
          <t>Nội dung công việc</t>
        </is>
      </c>
      <c r="C1" s="1" t="inlineStr">
        <is>
          <t>Đơn vị thực hiện</t>
        </is>
      </c>
      <c r="D1" s="1" t="inlineStr">
        <is>
          <t>Số lượng nhân sự</t>
        </is>
      </c>
      <c r="E1" s="1" t="inlineStr">
        <is>
          <t>Số ngày thực hiện</t>
        </is>
      </c>
      <c r="F1" s="1" t="inlineStr">
        <is>
          <t>Manday</t>
        </is>
      </c>
      <c r="G1" s="1" t="inlineStr">
        <is>
          <t>Ghi chú</t>
        </is>
      </c>
    </row>
    <row r="2" ht="16.5" customHeight="1">
      <c r="A2" s="2" t="inlineStr">
        <is>
          <t>1</t>
        </is>
      </c>
      <c r="B2" s="2" t="inlineStr">
        <is>
          <t>Tiếp nhận và phân tích yêu cầu</t>
        </is>
      </c>
      <c r="C2" s="2" t="inlineStr">
        <is>
          <t>DAS</t>
        </is>
      </c>
      <c r="D2" s="3" t="n"/>
      <c r="E2" s="4" t="n"/>
      <c r="F2" s="4" t="n"/>
      <c r="G2" s="3" t="n"/>
    </row>
    <row r="3" ht="16.5" customHeight="1">
      <c r="A3" s="5" t="n"/>
      <c r="B3" s="5" t="inlineStr">
        <is>
          <t>Phân tích yêu cầu nghiệp vụ các API tích hợp văn bản</t>
        </is>
      </c>
      <c r="C3" s="5" t="inlineStr">
        <is>
          <t>DAS</t>
        </is>
      </c>
      <c r="D3" s="5" t="n">
        <v>1</v>
      </c>
      <c r="E3" s="6" t="n">
        <v>4.1052</v>
      </c>
      <c r="F3" s="7">
        <f>D3*E3</f>
        <v/>
      </c>
      <c r="G3" s="5" t="inlineStr">
        <is>
          <t>[GIẢ ĐỊNH] Tách từ tổng 52: BA = 3/19, chia 50/50 Nhóm 1-2</t>
        </is>
      </c>
    </row>
    <row r="4" ht="16.5" customHeight="1">
      <c r="A4" s="2" t="inlineStr">
        <is>
          <t>2</t>
        </is>
      </c>
      <c r="B4" s="2" t="inlineStr">
        <is>
          <t>Phân tích thiết kế</t>
        </is>
      </c>
      <c r="C4" s="2" t="inlineStr">
        <is>
          <t>DAS</t>
        </is>
      </c>
      <c r="D4" s="3" t="n"/>
      <c r="E4" s="4" t="n"/>
      <c r="F4" s="4" t="n"/>
      <c r="G4" s="3" t="n"/>
    </row>
    <row r="5" ht="16.5" customHeight="1">
      <c r="A5" s="5" t="n"/>
      <c r="B5" s="5" t="inlineStr">
        <is>
          <t>Thiết kế đặc tả API (đầu vào/đầu ra, mã lỗi, phân quyền)</t>
        </is>
      </c>
      <c r="C5" s="5" t="inlineStr">
        <is>
          <t>DAS</t>
        </is>
      </c>
      <c r="D5" s="5" t="n">
        <v>1</v>
      </c>
      <c r="E5" s="6" t="n">
        <v>4.1052</v>
      </c>
      <c r="F5" s="7">
        <f>D5*E5</f>
        <v/>
      </c>
      <c r="G5" s="5" t="inlineStr">
        <is>
          <t>[GIẢ ĐỊNH] Tách từ tổng 52: BA = 3/19, chia 50/50 Nhóm 1-2</t>
        </is>
      </c>
    </row>
    <row r="6" ht="16.5" customHeight="1">
      <c r="A6" s="2" t="inlineStr">
        <is>
          <t>3</t>
        </is>
      </c>
      <c r="B6" s="2" t="inlineStr">
        <is>
          <t>Lập trình</t>
        </is>
      </c>
      <c r="C6" s="2" t="inlineStr">
        <is>
          <t>DAS</t>
        </is>
      </c>
      <c r="D6" s="3" t="n"/>
      <c r="E6" s="4" t="n"/>
      <c r="F6" s="4" t="n"/>
      <c r="G6" s="3" t="n"/>
    </row>
    <row r="7" ht="16.5" customHeight="1">
      <c r="A7" s="5" t="n"/>
      <c r="B7" s="5" t="inlineStr">
        <is>
          <t>2.1. API lấy danh sách văn bản đi đã ban hành</t>
        </is>
      </c>
      <c r="C7" s="5" t="inlineStr">
        <is>
          <t>DAS</t>
        </is>
      </c>
      <c r="D7" s="5" t="n">
        <v>1</v>
      </c>
      <c r="E7" s="6" t="n">
        <v>6.3158</v>
      </c>
      <c r="F7" s="7">
        <f>D7*E7</f>
        <v/>
      </c>
      <c r="G7" s="5" t="inlineStr">
        <is>
          <t>[GIẢ ĐỊNH] Dev = 12/19 của 10 ngày</t>
        </is>
      </c>
    </row>
    <row r="8" ht="16.5" customHeight="1">
      <c r="A8" s="5" t="n"/>
      <c r="B8" s="5" t="inlineStr">
        <is>
          <t>2.2. API lấy chi tiết 1 văn bản</t>
        </is>
      </c>
      <c r="C8" s="5" t="inlineStr">
        <is>
          <t>DAS</t>
        </is>
      </c>
      <c r="D8" s="5" t="n">
        <v>1</v>
      </c>
      <c r="E8" s="6" t="n">
        <v>6.3158</v>
      </c>
      <c r="F8" s="7">
        <f>D8*E8</f>
        <v/>
      </c>
      <c r="G8" s="5" t="inlineStr">
        <is>
          <t>[GIẢ ĐỊNH] Dev = 12/19 của 10 ngày</t>
        </is>
      </c>
    </row>
    <row r="9" ht="16.5" customHeight="1">
      <c r="A9" s="5" t="n"/>
      <c r="B9" s="5" t="inlineStr">
        <is>
          <t>2.3. API download file đính kèm của văn bản</t>
        </is>
      </c>
      <c r="C9" s="5" t="inlineStr">
        <is>
          <t>DAS</t>
        </is>
      </c>
      <c r="D9" s="5" t="n">
        <v>1</v>
      </c>
      <c r="E9" s="6" t="n">
        <v>6.3158</v>
      </c>
      <c r="F9" s="7">
        <f>D9*E9</f>
        <v/>
      </c>
      <c r="G9" s="5" t="inlineStr">
        <is>
          <t>[GIẢ ĐỊNH] Dev = 12/19 của 10 ngày</t>
        </is>
      </c>
    </row>
    <row r="10" ht="16.5" customHeight="1">
      <c r="A10" s="5" t="n"/>
      <c r="B10" s="5" t="inlineStr">
        <is>
          <t>2.4. API lấy số lượng văn bản của đơn vị</t>
        </is>
      </c>
      <c r="C10" s="5" t="inlineStr">
        <is>
          <t>DAS</t>
        </is>
      </c>
      <c r="D10" s="5" t="n">
        <v>1</v>
      </c>
      <c r="E10" s="6" t="n">
        <v>13.8947</v>
      </c>
      <c r="F10" s="7">
        <f>D10*E10</f>
        <v/>
      </c>
      <c r="G10" s="5" t="inlineStr">
        <is>
          <t>[GIẢ ĐỊNH] Dev = 12/19 của 22 ngày</t>
        </is>
      </c>
    </row>
    <row r="11" ht="16.5" customHeight="1">
      <c r="A11" s="2" t="inlineStr">
        <is>
          <t>4</t>
        </is>
      </c>
      <c r="B11" s="2" t="inlineStr">
        <is>
          <t>Kiểm thử - Test</t>
        </is>
      </c>
      <c r="C11" s="2" t="inlineStr">
        <is>
          <t>DAS</t>
        </is>
      </c>
      <c r="D11" s="3" t="n"/>
      <c r="E11" s="4" t="n"/>
      <c r="F11" s="4" t="n"/>
      <c r="G11" s="3" t="n"/>
    </row>
    <row r="12" ht="16.5" customHeight="1">
      <c r="A12" s="5" t="n"/>
      <c r="B12" s="5" t="inlineStr">
        <is>
          <t>Kiểm thử 4 API (chức năng, dữ liệu, phân quyền)</t>
        </is>
      </c>
      <c r="C12" s="5" t="inlineStr">
        <is>
          <t>DAS</t>
        </is>
      </c>
      <c r="D12" s="5" t="n">
        <v>1</v>
      </c>
      <c r="E12" s="6" t="n">
        <v>10.9474</v>
      </c>
      <c r="F12" s="7">
        <f>D12*E12</f>
        <v/>
      </c>
      <c r="G12" s="5" t="inlineStr">
        <is>
          <t>[GIẢ ĐỊNH] Test = 4/19 của tổng 52</t>
        </is>
      </c>
    </row>
    <row r="13" ht="16.5" customHeight="1">
      <c r="A13" s="8" t="inlineStr">
        <is>
          <t xml:space="preserve">Tổng khối lượng (Manday) </t>
        </is>
      </c>
      <c r="B13" s="2" t="n"/>
      <c r="C13" s="2" t="n"/>
      <c r="D13" s="2" t="n"/>
      <c r="E13" s="2" t="n"/>
      <c r="F13" s="8">
        <f>SUM(F2:F12)</f>
        <v/>
      </c>
      <c r="G13" s="2" t="n"/>
    </row>
    <row r="14" ht="16.5" customHeight="1">
      <c r="A14" s="8" t="inlineStr">
        <is>
          <t>Đơn giá (VNĐ/ Manday)</t>
        </is>
      </c>
      <c r="B14" s="2" t="n"/>
      <c r="C14" s="2" t="n"/>
      <c r="D14" s="2" t="n"/>
      <c r="E14" s="2" t="n"/>
      <c r="F14" s="9" t="n">
        <v>1181800</v>
      </c>
      <c r="G14" s="2" t="n"/>
    </row>
    <row r="15" ht="16.5" customHeight="1">
      <c r="A15" s="8" t="inlineStr">
        <is>
          <t>Tổng chi phí (VNĐ)</t>
        </is>
      </c>
      <c r="B15" s="2" t="n"/>
      <c r="C15" s="2" t="n"/>
      <c r="D15" s="2" t="n"/>
      <c r="E15" s="2" t="n"/>
      <c r="F15" s="9">
        <f>F13*F14</f>
        <v/>
      </c>
      <c r="G15" s="2" t="n"/>
    </row>
  </sheetData>
  <mergeCells count="3">
    <mergeCell ref="A13:B13"/>
    <mergeCell ref="A14:B14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2026-09-25T09:36:23Z</dcterms:created>
  <dcterms:modified xmlns:dcterms="http://purl.org/dc/terms/" xmlns:xsi="http://www.w3.org/2001/XMLSchema-instance" xsi:type="dcterms:W3CDTF">2026-09-25T09:36:23Z</dcterms:modified>
</cp:coreProperties>
</file>