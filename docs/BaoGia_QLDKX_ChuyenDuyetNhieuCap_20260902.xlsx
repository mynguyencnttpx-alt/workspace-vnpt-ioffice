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 fullCalcOnLoad="1"/>
</workbook>
</file>

<file path=xl/sharedStrings.xml><?xml version="1.0" encoding="utf-8"?>
<sst xmlns="http://schemas.openxmlformats.org/spreadsheetml/2006/main" count="88" uniqueCount="55">
  <si>
    <t>TT</t>
  </si>
  <si>
    <t>Nội dung công việc</t>
  </si>
  <si>
    <t>Đơn vị thực hiện</t>
  </si>
  <si>
    <t>Số lượng nhân sự</t>
  </si>
  <si>
    <t>Số ngày thực hiện</t>
  </si>
  <si>
    <t>Manday</t>
  </si>
  <si>
    <t>Ghi chú</t>
  </si>
  <si>
    <t>1</t>
  </si>
  <si>
    <t>Tiếp nhận và phân tích yêu cầu</t>
  </si>
  <si>
    <t>DAS</t>
  </si>
  <si>
    <t>Phân tích yêu cầu nghiệp vụ luồng duyệt nhiều cấp (số cấp, đơn vị X, cấu hình phân quyền)</t>
  </si>
  <si>
    <t>Theo tỷ lệ BA = Dev/4 (1 BA : 4 Dev)</t>
  </si>
  <si>
    <t>2</t>
  </si>
  <si>
    <t>Phân tích thiết kế</t>
  </si>
  <si>
    <t>Đặc tả SRS + thiết kế modal, luồng xử lý, bảng chuyển trạng thái, sequence diagram</t>
  </si>
  <si>
    <t>3</t>
  </si>
  <si>
    <t>Lập trình</t>
  </si>
  <si>
    <t>3.1</t>
  </si>
  <si>
    <t>Modal &amp; luồng xử lý Duyệt/Từ chối/Trình duyệt</t>
  </si>
  <si>
    <t>Xây dựng modal "Chuyển duyệt phiếu đăng ký xe" (combobox Lãnh đạo duyệt, Ý kiến, 3 nút hiển thị có điều kiện)</t>
  </si>
  <si>
    <t>Xử lý "Trình duyệt đăng ký xe" — chuyển cấp kế tiếp, loại trừ tự chuyển cho chính mình</t>
  </si>
  <si>
    <t>Xử lý "Duyệt" — xác định cấp cuối, chuyển trạng thái "Chờ cấp xe"</t>
  </si>
  <si>
    <t>Xử lý "Từ chối" tại bất kỳ cấp duyệt</t>
  </si>
  <si>
    <t>Ghi nhận Ý kiến theo từng hành động + hiển thị lịch sử duyệt</t>
  </si>
  <si>
    <t>3.2</t>
  </si>
  <si>
    <t>Cơ chế cấu hình chuỗi duyệt nhiều cấp theo phân quyền</t>
  </si>
  <si>
    <t>Đếm số cấp duyệt hiệu lực theo phân quyền per-unit (mã quyền CAP1..CAP5)</t>
  </si>
  <si>
    <t>Tham số bật/tắt luồng nhiều cấp (schema-wide)</t>
  </si>
  <si>
    <t>Fallback về luồng 1 cấp khi đơn vị chưa cấu hình quyền CAP</t>
  </si>
  <si>
    <t>Xác định người duyệt CAP1 + lọc field "Lãnh đạo duyệt" trên form tạo phiếu</t>
  </si>
  <si>
    <t>Xác định "đơn vị X" theo tham số QLDKX_CONFIG_DANGKYXE</t>
  </si>
  <si>
    <t>3.3</t>
  </si>
  <si>
    <t>Hiển thị trạng thái, worklist &amp; thông báo</t>
  </si>
  <si>
    <t>Hiển thị tiến độ duyệt cho Người đăng ký ("Cấp X/N — người đang xử lý")</t>
  </si>
  <si>
    <t>Xử lý tắt tính năng nhiều cấp khi phiếu đang dở dang giữa chuỗi</t>
  </si>
  <si>
    <t>Lọc danh sách "Chờ duyệt" theo Người xử lý hiện tại + nhãn "Đã trình cấp trên"</t>
  </si>
  <si>
    <t>Thông báo hệ thống (Notify) cho 3 sự kiện Trình duyệt/Duyệt/Từ chối</t>
  </si>
  <si>
    <t>Audit log bổ sung 3 hành động mới</t>
  </si>
  <si>
    <t>3.4</t>
  </si>
  <si>
    <t>Dự phòng estimate (PMBOK Reserve Analysis)</t>
  </si>
  <si>
    <t>Dự phòng rủi ro (Contingency Reserve k=1.5 + Management Reserve 10%)</t>
  </si>
  <si>
    <t>Theo PERT/Reserve Analysis</t>
  </si>
  <si>
    <t>4</t>
  </si>
  <si>
    <t>Kiểm thử - Test</t>
  </si>
  <si>
    <t>Kiểm thử chức năng modal &amp; luồng Duyệt/Từ chối/Trình duyệt nhiều cấp</t>
  </si>
  <si>
    <t>Theo tỷ lệ Test = Dev/3 (1 Tester : 3 Dev)</t>
  </si>
  <si>
    <t>Kiểm thử cấu hình phân quyền, fallback &amp; edge case (đơn vị chưa cấu hình, tắt tham số giữa chừng...)</t>
  </si>
  <si>
    <t>UAT</t>
  </si>
  <si>
    <t>5</t>
  </si>
  <si>
    <t>Deploy và Upcode</t>
  </si>
  <si>
    <t>Build, upcode, triển khai môi trường test/production</t>
  </si>
  <si>
    <t>[GIẢ ĐỊNH] CR trên hệ thống có sẵn</t>
  </si>
  <si>
    <t xml:space="preserve">Tổng khối lượng (Manday) </t>
  </si>
  <si>
    <t>Đơn giá (VNĐ/ Manday)</t>
  </si>
  <si>
    <t>Tổng chi phí (VNĐ)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</si>
</sst>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  <name val="Times New Roman"/>
    </font>
    <font>
      <color rgb="FF000000"/>
      <sz val="13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0" fillId="2" borderId="1" xfId="0" applyFill="1" applyBorder="1"/>
    <xf numFmtId="3" fontId="1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7.43" customWidth="1"/>
    <col min="2" max="2" width="71.43" customWidth="1"/>
    <col min="3" max="3" width="29.29" customWidth="1"/>
    <col min="4" max="4" width="15.43" customWidth="1"/>
    <col min="5" max="5" width="13.43" customWidth="1"/>
    <col min="6" max="6" width="20" customWidth="1"/>
    <col min="7" max="7" width="29.86" customWidth="1"/>
  </cols>
  <sheetData>
    <row r="1" ht="33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5" customHeight="1" spans="1:7" x14ac:dyDescent="0.25">
      <c r="A2" s="2" t="s">
        <v>7</v>
      </c>
      <c r="B2" s="3" t="s">
        <v>8</v>
      </c>
      <c r="C2" s="2" t="s">
        <v>9</v>
      </c>
      <c r="D2" s="4"/>
      <c r="E2" s="4"/>
      <c r="F2" s="4"/>
      <c r="G2" s="4"/>
    </row>
    <row r="3" ht="16.5" customHeight="1" spans="1:7" x14ac:dyDescent="0.25">
      <c r="A3" s="5"/>
      <c r="B3" s="6" t="s">
        <v>10</v>
      </c>
      <c r="C3" s="5" t="s">
        <v>9</v>
      </c>
      <c r="D3" s="5">
        <v>1</v>
      </c>
      <c r="E3" s="5">
        <v>4.07</v>
      </c>
      <c r="F3" s="7">
        <f>D3*E3</f>
        <v>4.07</v>
      </c>
      <c r="G3" s="5" t="s">
        <v>11</v>
      </c>
    </row>
    <row r="4" ht="16.5" customHeight="1" spans="1:7" x14ac:dyDescent="0.25">
      <c r="A4" s="2" t="s">
        <v>12</v>
      </c>
      <c r="B4" s="3" t="s">
        <v>13</v>
      </c>
      <c r="C4" s="2" t="s">
        <v>9</v>
      </c>
      <c r="D4" s="4"/>
      <c r="E4" s="4"/>
      <c r="F4" s="4"/>
      <c r="G4" s="4"/>
    </row>
    <row r="5" ht="16.5" customHeight="1" spans="1:7" x14ac:dyDescent="0.25">
      <c r="A5" s="5"/>
      <c r="B5" s="6" t="s">
        <v>14</v>
      </c>
      <c r="C5" s="5" t="s">
        <v>9</v>
      </c>
      <c r="D5" s="5">
        <v>1</v>
      </c>
      <c r="E5" s="5">
        <v>4.07</v>
      </c>
      <c r="F5" s="7">
        <f>D5*E5</f>
        <v>4.07</v>
      </c>
      <c r="G5" s="5" t="s">
        <v>11</v>
      </c>
    </row>
    <row r="6" ht="16.5" customHeight="1" spans="1:7" x14ac:dyDescent="0.25">
      <c r="A6" s="2" t="s">
        <v>15</v>
      </c>
      <c r="B6" s="3" t="s">
        <v>16</v>
      </c>
      <c r="C6" s="2" t="s">
        <v>9</v>
      </c>
      <c r="D6" s="4"/>
      <c r="E6" s="4"/>
      <c r="F6" s="4"/>
      <c r="G6" s="4"/>
    </row>
    <row r="7" ht="16.5" customHeight="1" spans="1:7" x14ac:dyDescent="0.25">
      <c r="A7" s="5" t="s">
        <v>17</v>
      </c>
      <c r="B7" s="8" t="s">
        <v>18</v>
      </c>
      <c r="C7" s="5" t="s">
        <v>9</v>
      </c>
      <c r="D7" s="5"/>
      <c r="E7" s="5"/>
      <c r="F7" s="5"/>
      <c r="G7" s="5"/>
    </row>
    <row r="8" ht="16.5" customHeight="1" spans="1:7" x14ac:dyDescent="0.25">
      <c r="A8" s="5"/>
      <c r="B8" s="6" t="s">
        <v>19</v>
      </c>
      <c r="C8" s="5" t="s">
        <v>9</v>
      </c>
      <c r="D8" s="5">
        <v>1</v>
      </c>
      <c r="E8" s="5">
        <v>2.6</v>
      </c>
      <c r="F8" s="7">
        <f>D8*E8</f>
        <v>2.6</v>
      </c>
      <c r="G8" s="5"/>
    </row>
    <row r="9" ht="16.5" customHeight="1" spans="1:7" x14ac:dyDescent="0.25">
      <c r="A9" s="5"/>
      <c r="B9" s="6" t="s">
        <v>20</v>
      </c>
      <c r="C9" s="5" t="s">
        <v>9</v>
      </c>
      <c r="D9" s="5">
        <v>1</v>
      </c>
      <c r="E9" s="5">
        <v>2.6</v>
      </c>
      <c r="F9" s="7">
        <f>D9*E9</f>
        <v>2.6</v>
      </c>
      <c r="G9" s="5"/>
    </row>
    <row r="10" ht="16.5" customHeight="1" spans="1:7" x14ac:dyDescent="0.25">
      <c r="A10" s="5"/>
      <c r="B10" s="6" t="s">
        <v>21</v>
      </c>
      <c r="C10" s="5" t="s">
        <v>9</v>
      </c>
      <c r="D10" s="5">
        <v>1</v>
      </c>
      <c r="E10" s="5">
        <v>1.27</v>
      </c>
      <c r="F10" s="7">
        <f>D10*E10</f>
        <v>1.27</v>
      </c>
      <c r="G10" s="5"/>
    </row>
    <row r="11" ht="16.5" customHeight="1" spans="1:7" x14ac:dyDescent="0.25">
      <c r="A11" s="5"/>
      <c r="B11" s="6" t="s">
        <v>22</v>
      </c>
      <c r="C11" s="5" t="s">
        <v>9</v>
      </c>
      <c r="D11" s="5">
        <v>1</v>
      </c>
      <c r="E11" s="5">
        <v>1.27</v>
      </c>
      <c r="F11" s="7">
        <f>D11*E11</f>
        <v>1.27</v>
      </c>
      <c r="G11" s="5"/>
    </row>
    <row r="12" ht="16.5" customHeight="1" spans="1:7" x14ac:dyDescent="0.25">
      <c r="A12" s="5"/>
      <c r="B12" s="6" t="s">
        <v>23</v>
      </c>
      <c r="C12" s="5" t="s">
        <v>9</v>
      </c>
      <c r="D12" s="5">
        <v>1</v>
      </c>
      <c r="E12" s="5">
        <v>1.27</v>
      </c>
      <c r="F12" s="7">
        <f>D12*E12</f>
        <v>1.27</v>
      </c>
      <c r="G12" s="5"/>
    </row>
    <row r="13" ht="16.5" customHeight="1" spans="1:7" x14ac:dyDescent="0.25">
      <c r="A13" s="5" t="s">
        <v>24</v>
      </c>
      <c r="B13" s="8" t="s">
        <v>25</v>
      </c>
      <c r="C13" s="5" t="s">
        <v>9</v>
      </c>
      <c r="D13" s="5"/>
      <c r="E13" s="5"/>
      <c r="F13" s="5"/>
      <c r="G13" s="5"/>
    </row>
    <row r="14" ht="16.5" customHeight="1" spans="1:7" x14ac:dyDescent="0.25">
      <c r="A14" s="5"/>
      <c r="B14" s="6" t="s">
        <v>26</v>
      </c>
      <c r="C14" s="5" t="s">
        <v>9</v>
      </c>
      <c r="D14" s="5">
        <v>1</v>
      </c>
      <c r="E14" s="5">
        <v>5.17</v>
      </c>
      <c r="F14" s="7">
        <f>D14*E14</f>
        <v>5.17</v>
      </c>
      <c r="G14" s="5"/>
    </row>
    <row r="15" ht="16.5" customHeight="1" spans="1:7" x14ac:dyDescent="0.25">
      <c r="A15" s="5"/>
      <c r="B15" s="6" t="s">
        <v>27</v>
      </c>
      <c r="C15" s="5" t="s">
        <v>9</v>
      </c>
      <c r="D15" s="5">
        <v>1</v>
      </c>
      <c r="E15" s="5">
        <v>1.27</v>
      </c>
      <c r="F15" s="7">
        <f>D15*E15</f>
        <v>1.27</v>
      </c>
      <c r="G15" s="5"/>
    </row>
    <row r="16" ht="16.5" customHeight="1" spans="1:7" x14ac:dyDescent="0.25">
      <c r="A16" s="5"/>
      <c r="B16" s="6" t="s">
        <v>28</v>
      </c>
      <c r="C16" s="5" t="s">
        <v>9</v>
      </c>
      <c r="D16" s="5">
        <v>1</v>
      </c>
      <c r="E16" s="5">
        <v>1.27</v>
      </c>
      <c r="F16" s="7">
        <f>D16*E16</f>
        <v>1.27</v>
      </c>
      <c r="G16" s="5"/>
    </row>
    <row r="17" ht="16.5" customHeight="1" spans="1:7" x14ac:dyDescent="0.25">
      <c r="A17" s="5"/>
      <c r="B17" s="6" t="s">
        <v>29</v>
      </c>
      <c r="C17" s="5" t="s">
        <v>9</v>
      </c>
      <c r="D17" s="5">
        <v>1</v>
      </c>
      <c r="E17" s="5">
        <v>2.6</v>
      </c>
      <c r="F17" s="7">
        <f>D17*E17</f>
        <v>2.6</v>
      </c>
      <c r="G17" s="5"/>
    </row>
    <row r="18" ht="16.5" customHeight="1" spans="1:7" x14ac:dyDescent="0.25">
      <c r="A18" s="5"/>
      <c r="B18" s="6" t="s">
        <v>30</v>
      </c>
      <c r="C18" s="5" t="s">
        <v>9</v>
      </c>
      <c r="D18" s="5">
        <v>1</v>
      </c>
      <c r="E18" s="5">
        <v>1.27</v>
      </c>
      <c r="F18" s="7">
        <f>D18*E18</f>
        <v>1.27</v>
      </c>
      <c r="G18" s="5"/>
    </row>
    <row r="19" ht="16.5" customHeight="1" spans="1:7" x14ac:dyDescent="0.25">
      <c r="A19" s="5" t="s">
        <v>31</v>
      </c>
      <c r="B19" s="8" t="s">
        <v>32</v>
      </c>
      <c r="C19" s="5" t="s">
        <v>9</v>
      </c>
      <c r="D19" s="5"/>
      <c r="E19" s="5"/>
      <c r="F19" s="5"/>
      <c r="G19" s="5"/>
    </row>
    <row r="20" ht="16.5" customHeight="1" spans="1:7" x14ac:dyDescent="0.25">
      <c r="A20" s="5"/>
      <c r="B20" s="6" t="s">
        <v>33</v>
      </c>
      <c r="C20" s="5" t="s">
        <v>9</v>
      </c>
      <c r="D20" s="5">
        <v>1</v>
      </c>
      <c r="E20" s="5">
        <v>1.27</v>
      </c>
      <c r="F20" s="7">
        <f>D20*E20</f>
        <v>1.27</v>
      </c>
      <c r="G20" s="5"/>
    </row>
    <row r="21" ht="16.5" customHeight="1" spans="1:7" x14ac:dyDescent="0.25">
      <c r="A21" s="5"/>
      <c r="B21" s="6" t="s">
        <v>34</v>
      </c>
      <c r="C21" s="5" t="s">
        <v>9</v>
      </c>
      <c r="D21" s="5">
        <v>1</v>
      </c>
      <c r="E21" s="5">
        <v>1.27</v>
      </c>
      <c r="F21" s="7">
        <f>D21*E21</f>
        <v>1.27</v>
      </c>
      <c r="G21" s="5"/>
    </row>
    <row r="22" ht="16.5" customHeight="1" spans="1:7" x14ac:dyDescent="0.25">
      <c r="A22" s="5"/>
      <c r="B22" s="6" t="s">
        <v>35</v>
      </c>
      <c r="C22" s="5" t="s">
        <v>9</v>
      </c>
      <c r="D22" s="5">
        <v>1</v>
      </c>
      <c r="E22" s="5">
        <v>2.6</v>
      </c>
      <c r="F22" s="7">
        <f>D22*E22</f>
        <v>2.6</v>
      </c>
      <c r="G22" s="5"/>
    </row>
    <row r="23" ht="16.5" customHeight="1" spans="1:7" x14ac:dyDescent="0.25">
      <c r="A23" s="5"/>
      <c r="B23" s="6" t="s">
        <v>36</v>
      </c>
      <c r="C23" s="5" t="s">
        <v>9</v>
      </c>
      <c r="D23" s="5">
        <v>1</v>
      </c>
      <c r="E23" s="5">
        <v>1.27</v>
      </c>
      <c r="F23" s="7">
        <f>D23*E23</f>
        <v>1.27</v>
      </c>
      <c r="G23" s="5"/>
    </row>
    <row r="24" ht="16.5" customHeight="1" spans="1:7" x14ac:dyDescent="0.25">
      <c r="A24" s="5"/>
      <c r="B24" s="6" t="s">
        <v>37</v>
      </c>
      <c r="C24" s="5" t="s">
        <v>9</v>
      </c>
      <c r="D24" s="5">
        <v>1</v>
      </c>
      <c r="E24" s="5">
        <v>0.63</v>
      </c>
      <c r="F24" s="7">
        <f>D24*E24</f>
        <v>0.63</v>
      </c>
      <c r="G24" s="5"/>
    </row>
    <row r="25" ht="16.5" customHeight="1" spans="1:7" x14ac:dyDescent="0.25">
      <c r="A25" s="5" t="s">
        <v>38</v>
      </c>
      <c r="B25" s="8" t="s">
        <v>39</v>
      </c>
      <c r="C25" s="5" t="s">
        <v>9</v>
      </c>
      <c r="D25" s="5"/>
      <c r="E25" s="5"/>
      <c r="F25" s="5"/>
      <c r="G25" s="5"/>
    </row>
    <row r="26" ht="16.5" customHeight="1" spans="1:7" x14ac:dyDescent="0.25">
      <c r="A26" s="5"/>
      <c r="B26" s="6" t="s">
        <v>40</v>
      </c>
      <c r="C26" s="5" t="s">
        <v>9</v>
      </c>
      <c r="D26" s="5">
        <v>1</v>
      </c>
      <c r="E26" s="5">
        <v>4.91</v>
      </c>
      <c r="F26" s="7">
        <f>D26*E26</f>
        <v>4.91</v>
      </c>
      <c r="G26" s="5" t="s">
        <v>41</v>
      </c>
    </row>
    <row r="27" ht="16.5" customHeight="1" spans="1:7" x14ac:dyDescent="0.25">
      <c r="A27" s="2" t="s">
        <v>42</v>
      </c>
      <c r="B27" s="3" t="s">
        <v>43</v>
      </c>
      <c r="C27" s="2" t="s">
        <v>9</v>
      </c>
      <c r="D27" s="4"/>
      <c r="E27" s="4"/>
      <c r="F27" s="4"/>
      <c r="G27" s="4"/>
    </row>
    <row r="28" ht="16.5" customHeight="1" spans="1:7" x14ac:dyDescent="0.25">
      <c r="A28" s="5"/>
      <c r="B28" s="6" t="s">
        <v>44</v>
      </c>
      <c r="C28" s="5" t="s">
        <v>9</v>
      </c>
      <c r="D28" s="5">
        <v>1</v>
      </c>
      <c r="E28" s="5">
        <v>4.49</v>
      </c>
      <c r="F28" s="7">
        <f>D28*E28</f>
        <v>4.49</v>
      </c>
      <c r="G28" s="5" t="s">
        <v>45</v>
      </c>
    </row>
    <row r="29" ht="16.5" customHeight="1" spans="1:7" x14ac:dyDescent="0.25">
      <c r="A29" s="5"/>
      <c r="B29" s="6" t="s">
        <v>46</v>
      </c>
      <c r="C29" s="5" t="s">
        <v>9</v>
      </c>
      <c r="D29" s="5">
        <v>1</v>
      </c>
      <c r="E29" s="5">
        <v>3.93</v>
      </c>
      <c r="F29" s="7">
        <f>D29*E29</f>
        <v>3.93</v>
      </c>
      <c r="G29" s="5" t="s">
        <v>45</v>
      </c>
    </row>
    <row r="30" ht="16.5" customHeight="1" spans="1:7" x14ac:dyDescent="0.25">
      <c r="A30" s="5"/>
      <c r="B30" s="6" t="s">
        <v>47</v>
      </c>
      <c r="C30" s="5" t="s">
        <v>9</v>
      </c>
      <c r="D30" s="5">
        <v>1</v>
      </c>
      <c r="E30" s="5">
        <v>2.43</v>
      </c>
      <c r="F30" s="7">
        <f>D30*E30</f>
        <v>2.43</v>
      </c>
      <c r="G30" s="5" t="s">
        <v>45</v>
      </c>
    </row>
    <row r="31" ht="16.5" customHeight="1" spans="1:7" x14ac:dyDescent="0.25">
      <c r="A31" s="2" t="s">
        <v>48</v>
      </c>
      <c r="B31" s="3" t="s">
        <v>49</v>
      </c>
      <c r="C31" s="2" t="s">
        <v>9</v>
      </c>
      <c r="D31" s="4"/>
      <c r="E31" s="4"/>
      <c r="F31" s="4"/>
      <c r="G31" s="4"/>
    </row>
    <row r="32" ht="16.5" customHeight="1" spans="1:7" x14ac:dyDescent="0.25">
      <c r="A32" s="5"/>
      <c r="B32" s="6" t="s">
        <v>50</v>
      </c>
      <c r="C32" s="5" t="s">
        <v>9</v>
      </c>
      <c r="D32" s="5">
        <v>1</v>
      </c>
      <c r="E32" s="5">
        <v>1.5</v>
      </c>
      <c r="F32" s="7">
        <f>D32*E32</f>
        <v>1.5</v>
      </c>
      <c r="G32" s="5" t="s">
        <v>51</v>
      </c>
    </row>
    <row r="33" ht="16.5" customHeight="1" spans="1:7" x14ac:dyDescent="0.25">
      <c r="A33" s="9" t="s">
        <v>52</v>
      </c>
      <c r="B33" s="9"/>
      <c r="C33" s="10"/>
      <c r="D33" s="10"/>
      <c r="E33" s="10"/>
      <c r="F33" s="9">
        <f>SUM(F2:F32)</f>
        <v>53.03000000000001</v>
      </c>
      <c r="G33" s="10"/>
    </row>
    <row r="34" ht="16.5" customHeight="1" spans="1:7" x14ac:dyDescent="0.25">
      <c r="A34" s="9" t="s">
        <v>53</v>
      </c>
      <c r="B34" s="9"/>
      <c r="C34" s="10"/>
      <c r="D34" s="10"/>
      <c r="E34" s="10"/>
      <c r="F34" s="11">
        <v>1181800</v>
      </c>
      <c r="G34" s="10"/>
    </row>
    <row r="35" ht="16.5" customHeight="1" spans="1:7" x14ac:dyDescent="0.25">
      <c r="A35" s="9" t="s">
        <v>54</v>
      </c>
      <c r="B35" s="9"/>
      <c r="C35" s="10"/>
      <c r="D35" s="10"/>
      <c r="E35" s="10"/>
      <c r="F35" s="11">
        <f>F33*F34</f>
        <v>62670854.00000001</v>
      </c>
      <c r="G35" s="10"/>
    </row>
  </sheetData>
  <mergeCells count="3">
    <mergeCell ref="A33:B33"/>
    <mergeCell ref="A34:B34"/>
    <mergeCell ref="A35:B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2026-09-02T08:12:28Z</dcterms:created>
  <dcterms:modified xsi:type="dcterms:W3CDTF">2026-09-02T08:12:28Z</dcterms:modified>
</cp:coreProperties>
</file>